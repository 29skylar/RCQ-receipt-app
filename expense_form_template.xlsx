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nessaCheung\Desktop\Programme\RCQ\"/>
    </mc:Choice>
  </mc:AlternateContent>
  <xr:revisionPtr revIDLastSave="0" documentId="13_ncr:1_{32D99946-AE61-4886-9EF6-D1F68B801B07}" xr6:coauthVersionLast="47" xr6:coauthVersionMax="47" xr10:uidLastSave="{00000000-0000-0000-0000-000000000000}"/>
  <bookViews>
    <workbookView xWindow="-120" yWindow="-16320" windowWidth="29040" windowHeight="15720" xr2:uid="{1D8E0CED-12AF-4F68-B9A5-5358724D9E72}"/>
  </bookViews>
  <sheets>
    <sheet name="Blank" sheetId="1" r:id="rId1"/>
  </sheets>
  <externalReferences>
    <externalReference r:id="rId2"/>
  </externalReferences>
  <definedNames>
    <definedName name="_xlnm._FilterDatabase" localSheetId="0" hidden="1">Blank!$A$9:$K$48</definedName>
    <definedName name="ColumnTitle1">#REF!</definedName>
    <definedName name="_xlnm.Print_Area" localSheetId="0">Blank!$A$1:$L$48</definedName>
    <definedName name="RowTitleRegion1..C3">#REF!</definedName>
    <definedName name="RowTitleRegion2..G3">#REF!</definedName>
    <definedName name="RowTitleRegion3..L4">#REF!</definedName>
    <definedName name="RowTitleRegion4..C7">#REF!</definedName>
    <definedName name="RowTitleRegion5..G7">#REF!</definedName>
    <definedName name="RowTitleRegion6..K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3" i="1" l="1"/>
  <c r="G43" i="1"/>
  <c r="L42" i="1"/>
  <c r="G42" i="1"/>
  <c r="F42" i="1" s="1"/>
  <c r="L41" i="1"/>
  <c r="G41" i="1"/>
  <c r="F41" i="1" s="1"/>
  <c r="L40" i="1"/>
  <c r="G40" i="1"/>
  <c r="F40" i="1" s="1"/>
  <c r="J39" i="1"/>
  <c r="L39" i="1" s="1"/>
  <c r="G39" i="1"/>
  <c r="F39" i="1" s="1"/>
  <c r="J38" i="1"/>
  <c r="L38" i="1" s="1"/>
  <c r="G38" i="1"/>
  <c r="F38" i="1" s="1"/>
  <c r="J37" i="1"/>
  <c r="L37" i="1" s="1"/>
  <c r="L44" i="1" s="1"/>
  <c r="G37" i="1"/>
  <c r="K34" i="1"/>
  <c r="L34" i="1" s="1"/>
  <c r="G34" i="1"/>
  <c r="K33" i="1"/>
  <c r="L33" i="1" s="1"/>
  <c r="K32" i="1"/>
  <c r="L32" i="1" s="1"/>
  <c r="G32" i="1"/>
  <c r="K31" i="1"/>
  <c r="L31" i="1" s="1"/>
  <c r="G31" i="1"/>
  <c r="K30" i="1"/>
  <c r="L30" i="1" s="1"/>
  <c r="G30" i="1"/>
  <c r="K29" i="1"/>
  <c r="L29" i="1" s="1"/>
  <c r="G29" i="1"/>
  <c r="K28" i="1"/>
  <c r="L28" i="1" s="1"/>
  <c r="G28" i="1"/>
  <c r="K27" i="1"/>
  <c r="L27" i="1" s="1"/>
  <c r="G27" i="1"/>
  <c r="K26" i="1"/>
  <c r="L26" i="1" s="1"/>
  <c r="G26" i="1"/>
  <c r="K25" i="1"/>
  <c r="L25" i="1" s="1"/>
  <c r="G25" i="1"/>
  <c r="K24" i="1"/>
  <c r="L24" i="1" s="1"/>
  <c r="G24" i="1"/>
  <c r="K23" i="1"/>
  <c r="L23" i="1" s="1"/>
  <c r="G23" i="1"/>
  <c r="K22" i="1"/>
  <c r="L22" i="1" s="1"/>
  <c r="G22" i="1"/>
  <c r="K21" i="1"/>
  <c r="L21" i="1" s="1"/>
  <c r="G21" i="1"/>
  <c r="K20" i="1"/>
  <c r="L20" i="1" s="1"/>
  <c r="G20" i="1"/>
  <c r="K19" i="1"/>
  <c r="L19" i="1" s="1"/>
  <c r="G19" i="1"/>
  <c r="K18" i="1"/>
  <c r="L18" i="1" s="1"/>
  <c r="G18" i="1"/>
  <c r="K17" i="1"/>
  <c r="L17" i="1" s="1"/>
  <c r="G17" i="1"/>
  <c r="K16" i="1"/>
  <c r="L16" i="1" s="1"/>
  <c r="G16" i="1"/>
  <c r="K15" i="1"/>
  <c r="L15" i="1" s="1"/>
  <c r="G15" i="1"/>
  <c r="K14" i="1"/>
  <c r="L14" i="1" s="1"/>
  <c r="G14" i="1"/>
  <c r="K13" i="1"/>
  <c r="L13" i="1" s="1"/>
  <c r="G13" i="1"/>
  <c r="K12" i="1"/>
  <c r="L12" i="1" s="1"/>
  <c r="G12" i="1"/>
  <c r="K11" i="1"/>
  <c r="L11" i="1" s="1"/>
  <c r="G11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K10" i="1"/>
  <c r="L10" i="1" s="1"/>
  <c r="L35" i="1" s="1"/>
  <c r="G10" i="1"/>
  <c r="F37" i="1" s="1"/>
  <c r="F44" i="1" l="1"/>
</calcChain>
</file>

<file path=xl/sharedStrings.xml><?xml version="1.0" encoding="utf-8"?>
<sst xmlns="http://schemas.openxmlformats.org/spreadsheetml/2006/main" count="72" uniqueCount="41">
  <si>
    <t>Expense Reimbursement Form</t>
  </si>
  <si>
    <t>Company list</t>
  </si>
  <si>
    <t>SESG Insurance Consultants Ltd</t>
  </si>
  <si>
    <t>Company :</t>
  </si>
  <si>
    <t>SESG Group Co. Ltd</t>
  </si>
  <si>
    <t>Bank A/C Name :</t>
  </si>
  <si>
    <t>SESG Insurance Services Ltd</t>
  </si>
  <si>
    <t>Pay to :</t>
  </si>
  <si>
    <t>Bank A/C No. :</t>
  </si>
  <si>
    <t>(Include Bank Code and Branch Code)</t>
  </si>
  <si>
    <t xml:space="preserve">Details: </t>
  </si>
  <si>
    <t>Item No.</t>
  </si>
  <si>
    <t>Date</t>
  </si>
  <si>
    <t>Supplier</t>
  </si>
  <si>
    <t>Event</t>
  </si>
  <si>
    <t>Purpose</t>
  </si>
  <si>
    <t>Involved Parties</t>
  </si>
  <si>
    <t>A/C Code</t>
  </si>
  <si>
    <t>Account Name</t>
  </si>
  <si>
    <t>Currency</t>
  </si>
  <si>
    <t>Amount</t>
  </si>
  <si>
    <t>Exchange Rate*</t>
  </si>
  <si>
    <t>Equivalent to HKD</t>
  </si>
  <si>
    <t>HKD</t>
  </si>
  <si>
    <t xml:space="preserve">  </t>
  </si>
  <si>
    <t>(Please attach original receipt)</t>
  </si>
  <si>
    <t>Entertainment</t>
  </si>
  <si>
    <t>Local Travelling</t>
  </si>
  <si>
    <t>RMB</t>
  </si>
  <si>
    <t>Computer Accessories</t>
  </si>
  <si>
    <t>TWD</t>
  </si>
  <si>
    <t>Staff Messing</t>
  </si>
  <si>
    <t>USD</t>
  </si>
  <si>
    <t>Printing &amp; Stationery</t>
  </si>
  <si>
    <t>Sundries</t>
  </si>
  <si>
    <t>Total Reimburse Amount
(HKD)</t>
  </si>
  <si>
    <t>*Exchange rate may be changed from time to time and subject to Finance Dept's discreption.</t>
  </si>
  <si>
    <t>(Signature)</t>
  </si>
  <si>
    <t>Applied by :</t>
  </si>
  <si>
    <t>Approved by :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</si>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</sst>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d\-mmm\-yyyy"/>
    <numFmt numFmtId="177" formatCode="#,##0.00000_);[Red]\(#,##0.00000\)"/>
    <numFmt numFmtId="178" formatCode="[$-409]dd\-mmm\-yy;@"/>
    <numFmt numFmtId="179" formatCode="#,##0.00_ ;\-#,##0.00\ "/>
  </numFmts>
  <fonts count="7" x14ac:knownFonts="1">
    <font>
      <sz val="11"/>
      <color theme="1"/>
      <name val="新細明體"/>
      <family val="1"/>
      <scheme val="minor"/>
    </font>
    <font>
      <b/>
      <sz val="22"/>
      <color theme="1"/>
      <name val="Calibri"/>
      <family val="2"/>
    </font>
    <font>
      <sz val="9"/>
      <name val="新細明體"/>
      <family val="3"/>
      <charset val="136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70C0"/>
      <name val="Calibri"/>
      <family val="2"/>
    </font>
    <font>
      <u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wrapText="1"/>
    </xf>
  </cellStyleXfs>
  <cellXfs count="87">
    <xf numFmtId="0" fontId="0" fillId="0" borderId="0" xfId="0">
      <alignment wrapText="1"/>
    </xf>
    <xf numFmtId="0" fontId="3" fillId="0" borderId="0" xfId="0" applyFont="1" applyAlignment="1"/>
    <xf numFmtId="0" fontId="3" fillId="0" borderId="0" xfId="0" applyFont="1">
      <alignment wrapText="1"/>
    </xf>
    <xf numFmtId="176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40" fontId="3" fillId="0" borderId="0" xfId="0" applyNumberFormat="1" applyFont="1" applyAlignment="1">
      <alignment horizontal="right" wrapText="1"/>
    </xf>
    <xf numFmtId="177" fontId="3" fillId="0" borderId="0" xfId="0" applyNumberFormat="1" applyFont="1" applyAlignment="1">
      <alignment horizontal="right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>
      <alignment wrapText="1"/>
    </xf>
    <xf numFmtId="0" fontId="3" fillId="0" borderId="1" xfId="0" applyFont="1" applyBorder="1" applyAlignment="1">
      <alignment horizontal="right"/>
    </xf>
    <xf numFmtId="0" fontId="3" fillId="0" borderId="1" xfId="0" quotePrefix="1" applyFont="1" applyBorder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wrapText="1"/>
    </xf>
    <xf numFmtId="0" fontId="3" fillId="0" borderId="0" xfId="0" quotePrefix="1" applyFont="1">
      <alignment wrapText="1"/>
    </xf>
    <xf numFmtId="40" fontId="3" fillId="0" borderId="0" xfId="0" quotePrefix="1" applyNumberFormat="1" applyFont="1" applyAlignment="1">
      <alignment horizontal="right" wrapText="1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40" fontId="4" fillId="0" borderId="2" xfId="0" applyNumberFormat="1" applyFont="1" applyBorder="1" applyAlignment="1">
      <alignment horizontal="right" vertical="center" wrapText="1"/>
    </xf>
    <xf numFmtId="177" fontId="4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179" fontId="3" fillId="0" borderId="3" xfId="0" applyNumberFormat="1" applyFont="1" applyBorder="1" applyAlignment="1">
      <alignment horizontal="left" vertical="center" wrapText="1"/>
    </xf>
    <xf numFmtId="40" fontId="3" fillId="0" borderId="3" xfId="0" applyNumberFormat="1" applyFont="1" applyBorder="1" applyAlignment="1">
      <alignment horizontal="right" vertical="center" wrapText="1"/>
    </xf>
    <xf numFmtId="177" fontId="3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center"/>
    </xf>
    <xf numFmtId="178" fontId="3" fillId="0" borderId="3" xfId="0" applyNumberFormat="1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40" fontId="3" fillId="0" borderId="4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179" fontId="3" fillId="0" borderId="5" xfId="0" applyNumberFormat="1" applyFont="1" applyBorder="1" applyAlignment="1">
      <alignment horizontal="left" vertical="center" wrapText="1"/>
    </xf>
    <xf numFmtId="40" fontId="3" fillId="0" borderId="5" xfId="0" applyNumberFormat="1" applyFont="1" applyBorder="1" applyAlignment="1">
      <alignment horizontal="right" vertical="center" wrapText="1"/>
    </xf>
    <xf numFmtId="177" fontId="3" fillId="0" borderId="5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179" fontId="4" fillId="0" borderId="8" xfId="0" applyNumberFormat="1" applyFont="1" applyBorder="1" applyAlignment="1">
      <alignment horizontal="center" vertical="center" wrapText="1"/>
    </xf>
    <xf numFmtId="177" fontId="4" fillId="0" borderId="8" xfId="0" applyNumberFormat="1" applyFont="1" applyBorder="1" applyAlignment="1">
      <alignment horizontal="right" vertical="center" wrapText="1"/>
    </xf>
    <xf numFmtId="40" fontId="4" fillId="0" borderId="8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left" vertical="center"/>
    </xf>
    <xf numFmtId="40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2" fontId="3" fillId="0" borderId="9" xfId="0" applyNumberFormat="1" applyFont="1" applyBorder="1" applyAlignment="1">
      <alignment vertical="center" wrapText="1"/>
    </xf>
    <xf numFmtId="40" fontId="3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40" fontId="4" fillId="0" borderId="0" xfId="0" applyNumberFormat="1" applyFont="1" applyAlignment="1">
      <alignment horizontal="right" vertical="center" wrapText="1"/>
    </xf>
    <xf numFmtId="0" fontId="3" fillId="0" borderId="10" xfId="0" applyFont="1" applyBorder="1" applyAlignment="1">
      <alignment horizontal="left" vertical="center"/>
    </xf>
    <xf numFmtId="40" fontId="3" fillId="0" borderId="10" xfId="0" applyNumberFormat="1" applyFont="1" applyBorder="1" applyAlignment="1">
      <alignment horizontal="right" vertical="center"/>
    </xf>
    <xf numFmtId="177" fontId="3" fillId="0" borderId="10" xfId="0" applyNumberFormat="1" applyFont="1" applyBorder="1" applyAlignment="1">
      <alignment horizontal="right" vertical="center" wrapText="1"/>
    </xf>
    <xf numFmtId="40" fontId="3" fillId="0" borderId="10" xfId="0" applyNumberFormat="1" applyFont="1" applyBorder="1" applyAlignment="1">
      <alignment horizontal="right" vertical="center" wrapText="1"/>
    </xf>
    <xf numFmtId="40" fontId="3" fillId="0" borderId="11" xfId="0" applyNumberFormat="1" applyFont="1" applyBorder="1" applyAlignment="1">
      <alignment horizontal="right" vertical="center" wrapText="1"/>
    </xf>
    <xf numFmtId="40" fontId="4" fillId="0" borderId="15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7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center" wrapText="1"/>
    </xf>
    <xf numFmtId="40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3" fillId="0" borderId="16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sgnas\Accounting\Petty%20Cash\Expenses%20Reimbursement_Bobby&amp;OverseasTrip\2025.07.01-2026.06.30\HK\Expense%20Reimbursement%20Form%20-%20Bobby%20HK%20expenses%20202601-202606.xlsx" TargetMode="External"/><Relationship Id="rId1" Type="http://schemas.openxmlformats.org/officeDocument/2006/relationships/externalLinkPath" Target="file:///\\sesgnas\Accounting\Petty%20Cash\Expenses%20Reimbursement_Bobby&amp;OverseasTrip\2025.07.01-2026.06.30\HK\Expense%20Reimbursement%20Form%20-%20Bobby%20HK%20expenses%20202601-2026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A"/>
      <sheetName val="202601"/>
      <sheetName val="202602"/>
      <sheetName val="202603"/>
      <sheetName val="Blank"/>
      <sheetName val="How to fill"/>
      <sheetName val="202507_HK(Old)"/>
    </sheetNames>
    <sheetDataSet>
      <sheetData sheetId="0">
        <row r="1">
          <cell r="B1" t="str">
            <v>Account Description</v>
          </cell>
          <cell r="C1" t="str">
            <v>Account ID</v>
          </cell>
        </row>
        <row r="2">
          <cell r="B2" t="str">
            <v>HSBC S/A-HKD-747-235000-838</v>
          </cell>
          <cell r="C2" t="str">
            <v>B02-0100</v>
          </cell>
        </row>
        <row r="3">
          <cell r="B3" t="str">
            <v>HSBC C/A-HKD-747-235000-001</v>
          </cell>
          <cell r="C3" t="str">
            <v>B02-0101</v>
          </cell>
        </row>
        <row r="4">
          <cell r="B4" t="str">
            <v>HSBC S/A-USD-747-235000-838</v>
          </cell>
          <cell r="C4" t="str">
            <v>B02-0102</v>
          </cell>
        </row>
        <row r="5">
          <cell r="B5" t="str">
            <v>Cash on Hands - Bobby Ying</v>
          </cell>
          <cell r="C5" t="str">
            <v>B02-5500</v>
          </cell>
        </row>
        <row r="6">
          <cell r="B6" t="str">
            <v>Cash on Hands</v>
          </cell>
          <cell r="C6" t="str">
            <v>B02-9900</v>
          </cell>
        </row>
        <row r="7">
          <cell r="B7" t="str">
            <v>Commission Paid - Life</v>
          </cell>
          <cell r="C7" t="str">
            <v>C00100</v>
          </cell>
        </row>
        <row r="8">
          <cell r="B8" t="str">
            <v>Commission Paid - GI</v>
          </cell>
          <cell r="C8" t="str">
            <v>C00101</v>
          </cell>
        </row>
        <row r="9">
          <cell r="B9" t="str">
            <v>Commission Paid</v>
          </cell>
          <cell r="C9" t="str">
            <v>C00102</v>
          </cell>
        </row>
        <row r="10">
          <cell r="B10" t="str">
            <v>Referral Fee - Life</v>
          </cell>
          <cell r="C10" t="str">
            <v>C00200</v>
          </cell>
        </row>
        <row r="11">
          <cell r="B11" t="str">
            <v>Referral Fee - GI</v>
          </cell>
          <cell r="C11" t="str">
            <v>C00201</v>
          </cell>
        </row>
        <row r="12">
          <cell r="B12" t="str">
            <v>Discount Allowed - Direct</v>
          </cell>
          <cell r="C12" t="str">
            <v>C00300</v>
          </cell>
        </row>
        <row r="13">
          <cell r="B13" t="str">
            <v>Other Direct Cost</v>
          </cell>
          <cell r="C13" t="str">
            <v>C00400</v>
          </cell>
        </row>
        <row r="14">
          <cell r="B14" t="str">
            <v>Training Course Cost</v>
          </cell>
          <cell r="C14" t="str">
            <v>C00500</v>
          </cell>
        </row>
        <row r="15">
          <cell r="B15" t="str">
            <v>AML/CTF Searching</v>
          </cell>
          <cell r="C15" t="str">
            <v>C00600</v>
          </cell>
        </row>
        <row r="16">
          <cell r="B16" t="str">
            <v>Accounts Receivable (AR)</v>
          </cell>
          <cell r="C16" t="str">
            <v>CA00100</v>
          </cell>
        </row>
        <row r="17">
          <cell r="B17" t="str">
            <v>Accounts Receivable (Trade)</v>
          </cell>
          <cell r="C17" t="str">
            <v>CA00200</v>
          </cell>
        </row>
        <row r="18">
          <cell r="B18" t="str">
            <v>Accounts Receivable (Inter-gp)</v>
          </cell>
          <cell r="C18" t="str">
            <v>CA00300</v>
          </cell>
        </row>
        <row r="19">
          <cell r="B19" t="str">
            <v>Prepaid Expenses</v>
          </cell>
          <cell r="C19" t="str">
            <v>CA10100</v>
          </cell>
        </row>
        <row r="20">
          <cell r="B20" t="str">
            <v>Temporary Payment</v>
          </cell>
          <cell r="C20" t="str">
            <v>CA10200</v>
          </cell>
        </row>
        <row r="21">
          <cell r="B21" t="str">
            <v>Other Receivable</v>
          </cell>
          <cell r="C21" t="str">
            <v>CA10300</v>
          </cell>
        </row>
        <row r="22">
          <cell r="B22" t="str">
            <v>Deposit - Rental</v>
          </cell>
          <cell r="C22" t="str">
            <v>CA20100</v>
          </cell>
        </row>
        <row r="23">
          <cell r="B23" t="str">
            <v>Deposit - Utility</v>
          </cell>
          <cell r="C23" t="str">
            <v>CA20200</v>
          </cell>
        </row>
        <row r="24">
          <cell r="B24" t="str">
            <v>Deposit - Others</v>
          </cell>
          <cell r="C24" t="str">
            <v>CA20300</v>
          </cell>
        </row>
        <row r="25">
          <cell r="B25" t="str">
            <v>Provisional Tax</v>
          </cell>
          <cell r="C25" t="str">
            <v>CA30100</v>
          </cell>
        </row>
        <row r="26">
          <cell r="B26" t="str">
            <v>Investment - Ins License</v>
          </cell>
          <cell r="C26" t="str">
            <v>CA90100</v>
          </cell>
        </row>
        <row r="27">
          <cell r="B27" t="str">
            <v>Investment - HK</v>
          </cell>
          <cell r="C27" t="str">
            <v>CA91100</v>
          </cell>
        </row>
        <row r="28">
          <cell r="B28" t="str">
            <v>GI JOB</v>
          </cell>
          <cell r="C28" t="str">
            <v>CA99999</v>
          </cell>
        </row>
        <row r="29">
          <cell r="B29" t="str">
            <v>Paid-Up Capital</v>
          </cell>
          <cell r="C29" t="str">
            <v>CAP00100</v>
          </cell>
        </row>
        <row r="30">
          <cell r="B30" t="str">
            <v>Profit &amp; Loss A/C</v>
          </cell>
          <cell r="C30" t="str">
            <v>CAP00200</v>
          </cell>
        </row>
        <row r="31">
          <cell r="B31" t="str">
            <v>Accounts Payable (AP)</v>
          </cell>
          <cell r="C31" t="str">
            <v>CL00100</v>
          </cell>
        </row>
        <row r="32">
          <cell r="B32" t="str">
            <v>Accounts Payable (RF)</v>
          </cell>
          <cell r="C32" t="str">
            <v>CL00101</v>
          </cell>
        </row>
        <row r="33">
          <cell r="B33" t="str">
            <v>Accounts Payable (Trade)</v>
          </cell>
          <cell r="C33" t="str">
            <v>CL00200</v>
          </cell>
        </row>
        <row r="34">
          <cell r="B34" t="str">
            <v>Accounts Payable (Inter-gp)</v>
          </cell>
          <cell r="C34" t="str">
            <v>CL00300</v>
          </cell>
        </row>
        <row r="35">
          <cell r="B35" t="str">
            <v>Accured Expenses</v>
          </cell>
          <cell r="C35" t="str">
            <v>CL10100</v>
          </cell>
        </row>
        <row r="36">
          <cell r="B36" t="str">
            <v>Accured Expenses - Bobby Ying</v>
          </cell>
          <cell r="C36" t="str">
            <v>CL10101</v>
          </cell>
        </row>
        <row r="37">
          <cell r="B37" t="str">
            <v>Temporary Receipt</v>
          </cell>
          <cell r="C37" t="str">
            <v>CL10200</v>
          </cell>
        </row>
        <row r="38">
          <cell r="B38" t="str">
            <v>Salaries &amp; MPF Payable</v>
          </cell>
          <cell r="C38" t="str">
            <v>CL20100</v>
          </cell>
        </row>
        <row r="39">
          <cell r="B39" t="str">
            <v>Provision for Audit Fee</v>
          </cell>
          <cell r="C39" t="str">
            <v>CL20200</v>
          </cell>
        </row>
        <row r="40">
          <cell r="B40" t="str">
            <v>Tax Payable</v>
          </cell>
          <cell r="C40" t="str">
            <v>CL20300</v>
          </cell>
        </row>
        <row r="41">
          <cell r="B41" t="str">
            <v>Group C/A-SESG Group (BVI)</v>
          </cell>
          <cell r="C41" t="str">
            <v>CL30100</v>
          </cell>
        </row>
        <row r="42">
          <cell r="B42" t="str">
            <v>Group C/A-SESG Group (HK)</v>
          </cell>
          <cell r="C42" t="str">
            <v>CL30200</v>
          </cell>
        </row>
        <row r="43">
          <cell r="B43" t="str">
            <v>Group C/A-SESG Ins Consultant</v>
          </cell>
          <cell r="C43" t="str">
            <v>CL30300</v>
          </cell>
        </row>
        <row r="44">
          <cell r="B44" t="str">
            <v>Group C/A-SESG Ins Services</v>
          </cell>
          <cell r="C44" t="str">
            <v>CL30400</v>
          </cell>
        </row>
        <row r="45">
          <cell r="B45" t="str">
            <v>Group C/A-SES Ins Brokers</v>
          </cell>
          <cell r="C45" t="str">
            <v>CL30500</v>
          </cell>
        </row>
        <row r="46">
          <cell r="B46" t="str">
            <v>Group C/A-Honest Ins Cons(New)</v>
          </cell>
          <cell r="C46" t="str">
            <v>CL30600</v>
          </cell>
        </row>
        <row r="47">
          <cell r="B47" t="str">
            <v>Group C/A-SESG Strategy Consul</v>
          </cell>
          <cell r="C47" t="str">
            <v>CL30700</v>
          </cell>
        </row>
        <row r="48">
          <cell r="B48" t="str">
            <v>Group C/A-Dragon Wealth Mgt Lt</v>
          </cell>
          <cell r="C48" t="str">
            <v>CL30800</v>
          </cell>
        </row>
        <row r="49">
          <cell r="B49" t="str">
            <v>Group C/A-Century Legend Int'l</v>
          </cell>
          <cell r="C49" t="str">
            <v>CL31000</v>
          </cell>
        </row>
        <row r="50">
          <cell r="B50" t="str">
            <v>Group C/A-SESG Int'l Property</v>
          </cell>
          <cell r="C50" t="str">
            <v>CL31100</v>
          </cell>
        </row>
        <row r="51">
          <cell r="B51" t="str">
            <v>Group C/A-Insight Global</v>
          </cell>
          <cell r="C51" t="str">
            <v>CL31200</v>
          </cell>
        </row>
        <row r="52">
          <cell r="B52" t="str">
            <v>C/A - Ying Kai Yin</v>
          </cell>
          <cell r="C52" t="str">
            <v>CL40100</v>
          </cell>
        </row>
        <row r="53">
          <cell r="B53" t="str">
            <v>Loan Payable - Cherie Wong</v>
          </cell>
          <cell r="C53" t="str">
            <v>CL90100</v>
          </cell>
        </row>
        <row r="54">
          <cell r="B54" t="str">
            <v>Loan Payable - Patrick Wong</v>
          </cell>
          <cell r="C54" t="str">
            <v>CL90200</v>
          </cell>
        </row>
        <row r="55">
          <cell r="B55" t="str">
            <v>Loan Payable - Bobby Ying</v>
          </cell>
          <cell r="C55" t="str">
            <v>CL90300</v>
          </cell>
        </row>
        <row r="56">
          <cell r="B56" t="str">
            <v>Other Creditor</v>
          </cell>
          <cell r="C56" t="str">
            <v>CL98000</v>
          </cell>
        </row>
        <row r="57">
          <cell r="B57" t="str">
            <v>Temporary - Takeover</v>
          </cell>
          <cell r="C57" t="str">
            <v>CL99999</v>
          </cell>
        </row>
        <row r="58">
          <cell r="B58" t="str">
            <v>Accounting Fees</v>
          </cell>
          <cell r="C58" t="str">
            <v>E01010</v>
          </cell>
        </row>
        <row r="59">
          <cell r="B59" t="str">
            <v>Audit Fees</v>
          </cell>
          <cell r="C59" t="str">
            <v>E01020</v>
          </cell>
        </row>
        <row r="60">
          <cell r="B60" t="str">
            <v>Adjustment</v>
          </cell>
          <cell r="C60" t="str">
            <v>E01030</v>
          </cell>
        </row>
        <row r="61">
          <cell r="B61" t="str">
            <v>B.R. Fee</v>
          </cell>
          <cell r="C61" t="str">
            <v>E02010</v>
          </cell>
        </row>
        <row r="62">
          <cell r="B62" t="str">
            <v>Bank Charges</v>
          </cell>
          <cell r="C62" t="str">
            <v>E02020</v>
          </cell>
        </row>
        <row r="63">
          <cell r="B63" t="str">
            <v>Bank Interest</v>
          </cell>
          <cell r="C63" t="str">
            <v>E02021</v>
          </cell>
        </row>
        <row r="64">
          <cell r="B64" t="str">
            <v>Books &amp; Periodical</v>
          </cell>
          <cell r="C64" t="str">
            <v>E02030</v>
          </cell>
        </row>
        <row r="65">
          <cell r="B65" t="str">
            <v>Business Promotion</v>
          </cell>
          <cell r="C65" t="str">
            <v>E02040</v>
          </cell>
        </row>
        <row r="66">
          <cell r="B66" t="str">
            <v>Cleaning Fee</v>
          </cell>
          <cell r="C66" t="str">
            <v>E03010</v>
          </cell>
        </row>
        <row r="67">
          <cell r="B67" t="str">
            <v>Computer Accessories</v>
          </cell>
          <cell r="C67" t="str">
            <v>E03020</v>
          </cell>
        </row>
        <row r="68">
          <cell r="B68" t="str">
            <v>Consumable Goods</v>
          </cell>
          <cell r="C68" t="str">
            <v>E03030</v>
          </cell>
        </row>
        <row r="69">
          <cell r="B69" t="str">
            <v>Courier Charges</v>
          </cell>
          <cell r="C69" t="str">
            <v>E03040</v>
          </cell>
        </row>
        <row r="70">
          <cell r="B70" t="str">
            <v>Consultancy Fee</v>
          </cell>
          <cell r="C70" t="str">
            <v>E03050</v>
          </cell>
        </row>
        <row r="71">
          <cell r="B71" t="str">
            <v>Depreciation</v>
          </cell>
          <cell r="C71" t="str">
            <v>E04010</v>
          </cell>
        </row>
        <row r="72">
          <cell r="B72" t="str">
            <v>Diff. in Exchange</v>
          </cell>
          <cell r="C72" t="str">
            <v>E04020</v>
          </cell>
        </row>
        <row r="73">
          <cell r="B73" t="str">
            <v>Director's Remuneration</v>
          </cell>
          <cell r="C73" t="str">
            <v>E04030</v>
          </cell>
        </row>
        <row r="74">
          <cell r="B74" t="str">
            <v>Discount Allowed/Received</v>
          </cell>
          <cell r="C74" t="str">
            <v>E04040</v>
          </cell>
        </row>
        <row r="75">
          <cell r="B75" t="str">
            <v>Entertainment</v>
          </cell>
          <cell r="C75" t="str">
            <v>E05010</v>
          </cell>
        </row>
        <row r="76">
          <cell r="B76" t="str">
            <v>Insurance</v>
          </cell>
          <cell r="C76" t="str">
            <v>E09010</v>
          </cell>
        </row>
        <row r="77">
          <cell r="B77" t="str">
            <v>Internet &amp; Emails Expenses</v>
          </cell>
          <cell r="C77" t="str">
            <v>E09020</v>
          </cell>
        </row>
        <row r="78">
          <cell r="B78" t="str">
            <v>Local Travelling</v>
          </cell>
          <cell r="C78" t="str">
            <v>E12010</v>
          </cell>
        </row>
        <row r="79">
          <cell r="B79" t="str">
            <v>Loss on Disposal of F.A.</v>
          </cell>
          <cell r="C79" t="str">
            <v>E12020</v>
          </cell>
        </row>
        <row r="80">
          <cell r="B80" t="str">
            <v>Licence Fee</v>
          </cell>
          <cell r="C80" t="str">
            <v>E12030</v>
          </cell>
        </row>
        <row r="81">
          <cell r="B81" t="str">
            <v>Management Fee - Property</v>
          </cell>
          <cell r="C81" t="str">
            <v>E13010</v>
          </cell>
        </row>
        <row r="82">
          <cell r="B82" t="str">
            <v>Membership Fees</v>
          </cell>
          <cell r="C82" t="str">
            <v>E13020</v>
          </cell>
        </row>
        <row r="83">
          <cell r="B83" t="str">
            <v>Motor - Oil</v>
          </cell>
          <cell r="C83" t="str">
            <v>E13030</v>
          </cell>
        </row>
        <row r="84">
          <cell r="B84" t="str">
            <v>Motor - Parking Fee</v>
          </cell>
          <cell r="C84" t="str">
            <v>E13031</v>
          </cell>
        </row>
        <row r="85">
          <cell r="B85" t="str">
            <v>Motor - Expenses</v>
          </cell>
          <cell r="C85" t="str">
            <v>E13032</v>
          </cell>
        </row>
        <row r="86">
          <cell r="B86" t="str">
            <v>MPF Contribution - Director</v>
          </cell>
          <cell r="C86" t="str">
            <v>E13040</v>
          </cell>
        </row>
        <row r="87">
          <cell r="B87" t="str">
            <v>MPF Contribution - ER</v>
          </cell>
          <cell r="C87" t="str">
            <v>E13041</v>
          </cell>
        </row>
        <row r="88">
          <cell r="B88" t="str">
            <v>MPF Contribution - EE</v>
          </cell>
          <cell r="C88" t="str">
            <v>E13042</v>
          </cell>
        </row>
        <row r="89">
          <cell r="B89" t="str">
            <v>Marketing - Website</v>
          </cell>
          <cell r="C89" t="str">
            <v>E13050</v>
          </cell>
        </row>
        <row r="90">
          <cell r="B90" t="str">
            <v>Office Accessories</v>
          </cell>
          <cell r="C90" t="str">
            <v>E15010</v>
          </cell>
        </row>
        <row r="91">
          <cell r="B91" t="str">
            <v>Overseas Travelling</v>
          </cell>
          <cell r="C91" t="str">
            <v>E15020</v>
          </cell>
        </row>
        <row r="92">
          <cell r="B92" t="str">
            <v>Office Support Expenses</v>
          </cell>
          <cell r="C92" t="str">
            <v>E15030</v>
          </cell>
        </row>
        <row r="93">
          <cell r="B93" t="str">
            <v>Postage &amp; Stamp Duty</v>
          </cell>
          <cell r="C93" t="str">
            <v>E16010</v>
          </cell>
        </row>
        <row r="94">
          <cell r="B94" t="str">
            <v>Printing &amp; Stationery</v>
          </cell>
          <cell r="C94" t="str">
            <v>E16020</v>
          </cell>
        </row>
        <row r="95">
          <cell r="B95" t="str">
            <v>Professional Fees</v>
          </cell>
          <cell r="C95" t="str">
            <v>E16030</v>
          </cell>
        </row>
        <row r="96">
          <cell r="B96" t="str">
            <v>Publication Fees</v>
          </cell>
          <cell r="C96" t="str">
            <v>E16040</v>
          </cell>
        </row>
        <row r="97">
          <cell r="B97" t="str">
            <v>Registration Fees</v>
          </cell>
          <cell r="C97" t="str">
            <v>E18010</v>
          </cell>
        </row>
        <row r="98">
          <cell r="B98" t="str">
            <v>Rent &amp; Rates</v>
          </cell>
          <cell r="C98" t="str">
            <v>E18020</v>
          </cell>
        </row>
        <row r="99">
          <cell r="B99" t="str">
            <v>Repair &amp; Maintenance</v>
          </cell>
          <cell r="C99" t="str">
            <v>E18030</v>
          </cell>
        </row>
        <row r="100">
          <cell r="B100" t="str">
            <v>Salary &amp; Wages</v>
          </cell>
          <cell r="C100" t="str">
            <v>E19010</v>
          </cell>
        </row>
        <row r="101">
          <cell r="B101" t="str">
            <v>Salary - Housing allowance</v>
          </cell>
          <cell r="C101" t="str">
            <v>E19011</v>
          </cell>
        </row>
        <row r="102">
          <cell r="B102" t="str">
            <v>Searching Fees</v>
          </cell>
          <cell r="C102" t="str">
            <v>E19020</v>
          </cell>
        </row>
        <row r="103">
          <cell r="B103" t="str">
            <v>Staff Benefit</v>
          </cell>
          <cell r="C103" t="str">
            <v>E19030</v>
          </cell>
        </row>
        <row r="104">
          <cell r="B104" t="str">
            <v>Staff Training</v>
          </cell>
          <cell r="C104" t="str">
            <v>E19031</v>
          </cell>
        </row>
        <row r="105">
          <cell r="B105" t="str">
            <v>Staff Messing</v>
          </cell>
          <cell r="C105" t="str">
            <v>E19032</v>
          </cell>
        </row>
        <row r="106">
          <cell r="B106" t="str">
            <v>Sundries</v>
          </cell>
          <cell r="C106" t="str">
            <v>E19040</v>
          </cell>
        </row>
        <row r="107">
          <cell r="B107" t="str">
            <v>Telephone &amp; Fax</v>
          </cell>
          <cell r="C107" t="str">
            <v>E20010</v>
          </cell>
        </row>
        <row r="108">
          <cell r="B108" t="str">
            <v>Transportation</v>
          </cell>
          <cell r="C108" t="str">
            <v>E20020</v>
          </cell>
        </row>
        <row r="109">
          <cell r="B109" t="str">
            <v>Water &amp; Electricity</v>
          </cell>
          <cell r="C109" t="str">
            <v>E23010</v>
          </cell>
        </row>
        <row r="110">
          <cell r="B110" t="str">
            <v>Tax Paid</v>
          </cell>
          <cell r="C110" t="str">
            <v>E98000</v>
          </cell>
        </row>
        <row r="111">
          <cell r="B111" t="str">
            <v>Dividends - Interim</v>
          </cell>
          <cell r="C111" t="str">
            <v>E99000</v>
          </cell>
        </row>
        <row r="112">
          <cell r="B112" t="str">
            <v>TakeOver Adjsutment</v>
          </cell>
          <cell r="C112" t="str">
            <v>E99999</v>
          </cell>
        </row>
        <row r="113">
          <cell r="B113" t="str">
            <v>Building Property- Cost</v>
          </cell>
          <cell r="C113" t="str">
            <v>FA00100</v>
          </cell>
        </row>
        <row r="114">
          <cell r="B114" t="str">
            <v>Building Property-Prov Dep</v>
          </cell>
          <cell r="C114" t="str">
            <v>FA00101</v>
          </cell>
        </row>
        <row r="115">
          <cell r="B115" t="str">
            <v>Decoration- Cost</v>
          </cell>
          <cell r="C115" t="str">
            <v>FA00200</v>
          </cell>
        </row>
        <row r="116">
          <cell r="B116" t="str">
            <v>Decoration- Prov Dep</v>
          </cell>
          <cell r="C116" t="str">
            <v>FA00201</v>
          </cell>
        </row>
        <row r="117">
          <cell r="B117" t="str">
            <v>Furniture &amp; Fixtures- Cost</v>
          </cell>
          <cell r="C117" t="str">
            <v>FA10100</v>
          </cell>
        </row>
        <row r="118">
          <cell r="B118" t="str">
            <v>Furniture &amp; Fixtures- Prov Dep</v>
          </cell>
          <cell r="C118" t="str">
            <v>FA10101</v>
          </cell>
        </row>
        <row r="119">
          <cell r="B119" t="str">
            <v>Office Equipments- Cost</v>
          </cell>
          <cell r="C119" t="str">
            <v>FA10200</v>
          </cell>
        </row>
        <row r="120">
          <cell r="B120" t="str">
            <v>Office Equipments- Prov Dep</v>
          </cell>
          <cell r="C120" t="str">
            <v>FA10201</v>
          </cell>
        </row>
        <row r="121">
          <cell r="B121" t="str">
            <v>Computer Equipments- Cost</v>
          </cell>
          <cell r="C121" t="str">
            <v>FA10300</v>
          </cell>
        </row>
        <row r="122">
          <cell r="B122" t="str">
            <v>Computer Equipments- Prov Dep</v>
          </cell>
          <cell r="C122" t="str">
            <v>FA10301</v>
          </cell>
        </row>
        <row r="123">
          <cell r="B123" t="str">
            <v>Comm Income - Life Ins</v>
          </cell>
          <cell r="C123" t="str">
            <v>R00100</v>
          </cell>
        </row>
        <row r="124">
          <cell r="B124" t="str">
            <v>Comm Income - General Ins</v>
          </cell>
          <cell r="C124" t="str">
            <v>R00101</v>
          </cell>
        </row>
        <row r="125">
          <cell r="B125" t="str">
            <v>Comm Income</v>
          </cell>
          <cell r="C125" t="str">
            <v>R00102</v>
          </cell>
        </row>
        <row r="126">
          <cell r="B126" t="str">
            <v>Referral Income</v>
          </cell>
          <cell r="C126" t="str">
            <v>R00200</v>
          </cell>
        </row>
        <row r="127">
          <cell r="B127" t="str">
            <v>Consultancy Income</v>
          </cell>
          <cell r="C127" t="str">
            <v>R00300</v>
          </cell>
        </row>
        <row r="128">
          <cell r="B128" t="str">
            <v>Bank Interest Income</v>
          </cell>
          <cell r="C128" t="str">
            <v>R10000</v>
          </cell>
        </row>
        <row r="129">
          <cell r="B129" t="str">
            <v>Other Income</v>
          </cell>
          <cell r="C129" t="str">
            <v>R10100</v>
          </cell>
        </row>
        <row r="130">
          <cell r="B130" t="str">
            <v>Government Sponsorship</v>
          </cell>
          <cell r="C130" t="str">
            <v>R10200</v>
          </cell>
        </row>
        <row r="131">
          <cell r="B131" t="str">
            <v>Office Support</v>
          </cell>
          <cell r="C131" t="str">
            <v>R20100</v>
          </cell>
        </row>
        <row r="132">
          <cell r="B132" t="str">
            <v>Gain on Investment</v>
          </cell>
          <cell r="C132" t="str">
            <v>R30100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Equity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96A9A9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宋体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仿宋_GB2312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100000" t="200000" r="100000" b="4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100000" t="200000" r="100000" b="40000"/>
          </a:path>
        </a:gradFill>
      </a:fillStyleLst>
      <a:lnStyleLst>
        <a:ln w="698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satMod val="105000"/>
                <a:alpha val="48000"/>
              </a:schemeClr>
            </a:outerShdw>
          </a:effectLst>
          <a:scene3d>
            <a:camera prst="orthographicFront" fov="0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00000"/>
              </a:schemeClr>
            </a:gs>
            <a:gs pos="100000">
              <a:schemeClr val="phClr">
                <a:shade val="15000"/>
                <a:satMod val="300000"/>
              </a:schemeClr>
            </a:gs>
          </a:gsLst>
          <a:path path="circle">
            <a:fillToRect l="10000" t="180000" r="10000" b="5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5000"/>
                <a:satMod val="150000"/>
              </a:schemeClr>
            </a:duotone>
          </a:blip>
          <a:tile tx="0" ty="0" sx="70000" sy="70000" flip="none" algn="ctr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69DC-9E15-4621-BED4-3F7561A4F708}">
  <sheetPr>
    <pageSetUpPr fitToPage="1"/>
  </sheetPr>
  <dimension ref="A1:P54"/>
  <sheetViews>
    <sheetView showGridLines="0" tabSelected="1" zoomScale="85" zoomScaleNormal="85" zoomScaleSheetLayoutView="55" zoomScalePageLayoutView="40" workbookViewId="0">
      <pane xSplit="2" ySplit="9" topLeftCell="C16" activePane="bottomRight" state="frozen"/>
      <selection pane="topRight" activeCell="C1" sqref="C1"/>
      <selection pane="bottomLeft" activeCell="A10" sqref="A10"/>
      <selection pane="bottomRight" activeCell="C7" sqref="C7"/>
    </sheetView>
  </sheetViews>
  <sheetFormatPr defaultColWidth="0" defaultRowHeight="17.25" customHeight="1" x14ac:dyDescent="0.45"/>
  <cols>
    <col min="1" max="1" width="8.5" style="2" customWidth="1"/>
    <col min="2" max="2" width="16.296875" style="3" customWidth="1"/>
    <col min="3" max="3" width="31.5" style="4" customWidth="1"/>
    <col min="4" max="4" width="24.59765625" style="5" bestFit="1" customWidth="1"/>
    <col min="5" max="5" width="16.09765625" style="6" hidden="1" customWidth="1"/>
    <col min="6" max="6" width="19.8984375" style="6" bestFit="1" customWidth="1"/>
    <col min="7" max="7" width="13.5" style="6" bestFit="1" customWidth="1"/>
    <col min="8" max="8" width="23" style="2" customWidth="1"/>
    <col min="9" max="9" width="14.59765625" style="7" customWidth="1"/>
    <col min="10" max="10" width="11.19921875" style="7" bestFit="1" customWidth="1"/>
    <col min="11" max="11" width="14.09765625" style="8" customWidth="1"/>
    <col min="12" max="12" width="16.296875" style="5" customWidth="1"/>
    <col min="13" max="16" width="9" style="2" customWidth="1"/>
    <col min="17" max="16384" width="0" style="2" hidden="1"/>
  </cols>
  <sheetData>
    <row r="1" spans="1:13" ht="28.5" x14ac:dyDescent="0.65">
      <c r="A1" s="79" t="s">
        <v>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1" t="s">
        <v>1</v>
      </c>
    </row>
    <row r="2" spans="1:13" ht="17.25" customHeight="1" x14ac:dyDescent="0.45">
      <c r="M2" s="1" t="s">
        <v>2</v>
      </c>
    </row>
    <row r="3" spans="1:13" ht="17.25" customHeight="1" x14ac:dyDescent="0.45">
      <c r="A3" s="1" t="s">
        <v>3</v>
      </c>
      <c r="C3" s="9" t="s">
        <v>4</v>
      </c>
      <c r="D3" s="10"/>
      <c r="F3" s="2"/>
      <c r="G3" s="2"/>
      <c r="H3" s="4" t="s">
        <v>5</v>
      </c>
      <c r="I3" s="9"/>
      <c r="J3" s="11"/>
      <c r="K3" s="11"/>
      <c r="L3" s="11"/>
      <c r="M3" s="1" t="s">
        <v>6</v>
      </c>
    </row>
    <row r="4" spans="1:13" ht="17.25" customHeight="1" x14ac:dyDescent="0.45">
      <c r="F4" s="2"/>
      <c r="G4" s="2"/>
      <c r="H4" s="6"/>
      <c r="I4" s="6"/>
      <c r="J4" s="2"/>
      <c r="K4" s="7"/>
      <c r="L4" s="7"/>
      <c r="M4" s="1" t="s">
        <v>4</v>
      </c>
    </row>
    <row r="5" spans="1:13" ht="17.25" customHeight="1" x14ac:dyDescent="0.45">
      <c r="A5" s="2" t="s">
        <v>7</v>
      </c>
      <c r="C5" s="9"/>
      <c r="D5" s="12"/>
      <c r="F5" s="2"/>
      <c r="G5" s="2"/>
      <c r="H5" s="4" t="s">
        <v>8</v>
      </c>
      <c r="I5" s="13"/>
      <c r="J5" s="13"/>
      <c r="K5" s="13"/>
      <c r="L5" s="13"/>
    </row>
    <row r="6" spans="1:13" ht="36.75" customHeight="1" x14ac:dyDescent="0.45">
      <c r="D6" s="14"/>
      <c r="F6" s="2"/>
      <c r="G6" s="2"/>
      <c r="H6" s="15" t="s">
        <v>9</v>
      </c>
      <c r="I6" s="16"/>
      <c r="J6" s="17"/>
      <c r="K6" s="18"/>
      <c r="L6" s="18"/>
    </row>
    <row r="7" spans="1:13" ht="17.5" customHeight="1" x14ac:dyDescent="0.45">
      <c r="A7" s="2" t="s">
        <v>10</v>
      </c>
      <c r="C7" s="19"/>
      <c r="D7" s="12"/>
      <c r="F7" s="15"/>
      <c r="G7" s="16"/>
      <c r="H7" s="17"/>
      <c r="I7" s="18"/>
      <c r="J7" s="18"/>
    </row>
    <row r="8" spans="1:13" ht="16.5" customHeight="1" x14ac:dyDescent="0.45">
      <c r="D8" s="14"/>
      <c r="F8" s="15"/>
      <c r="G8" s="16"/>
      <c r="H8" s="17"/>
      <c r="I8" s="18"/>
      <c r="J8" s="18"/>
    </row>
    <row r="9" spans="1:13" s="27" customFormat="1" ht="36" customHeight="1" x14ac:dyDescent="0.3">
      <c r="A9" s="20" t="s">
        <v>11</v>
      </c>
      <c r="B9" s="21" t="s">
        <v>12</v>
      </c>
      <c r="C9" s="22" t="s">
        <v>13</v>
      </c>
      <c r="D9" s="22" t="s">
        <v>14</v>
      </c>
      <c r="E9" s="23" t="s">
        <v>15</v>
      </c>
      <c r="F9" s="24" t="s">
        <v>16</v>
      </c>
      <c r="G9" s="22" t="s">
        <v>17</v>
      </c>
      <c r="H9" s="24" t="s">
        <v>18</v>
      </c>
      <c r="I9" s="23" t="s">
        <v>19</v>
      </c>
      <c r="J9" s="25" t="s">
        <v>20</v>
      </c>
      <c r="K9" s="26" t="s">
        <v>21</v>
      </c>
      <c r="L9" s="25" t="s">
        <v>22</v>
      </c>
    </row>
    <row r="10" spans="1:13" s="36" customFormat="1" ht="35.15" customHeight="1" x14ac:dyDescent="0.3">
      <c r="A10" s="28">
        <v>1</v>
      </c>
      <c r="B10" s="29"/>
      <c r="C10" s="30"/>
      <c r="D10" s="30"/>
      <c r="E10" s="31"/>
      <c r="F10" s="31"/>
      <c r="G10" s="31" t="str">
        <f>IF(ISNA(VLOOKUP(H10,[1]COA!B:C,2,FALSE))," ",(VLOOKUP(H10,[1]COA!B:C,2,FALSE)))</f>
        <v xml:space="preserve"> </v>
      </c>
      <c r="H10" s="32"/>
      <c r="I10" s="33" t="s">
        <v>23</v>
      </c>
      <c r="J10" s="34"/>
      <c r="K10" s="35">
        <f t="shared" ref="K10:K34" si="0">VLOOKUP(I10,$I$37:$K$43,3,FALSE)</f>
        <v>1</v>
      </c>
      <c r="L10" s="34">
        <f t="shared" ref="L10:L34" si="1">J10*K10</f>
        <v>0</v>
      </c>
    </row>
    <row r="11" spans="1:13" s="36" customFormat="1" ht="35" customHeight="1" x14ac:dyDescent="0.3">
      <c r="A11" s="28">
        <f>1+A10</f>
        <v>2</v>
      </c>
      <c r="B11" s="29"/>
      <c r="C11" s="30"/>
      <c r="D11" s="30"/>
      <c r="E11" s="31"/>
      <c r="F11" s="37"/>
      <c r="G11" s="31" t="str">
        <f>IF(ISNA(VLOOKUP(H11,[1]COA!B:C,2,FALSE))," ",(VLOOKUP(H11,[1]COA!B:C,2,FALSE)))</f>
        <v xml:space="preserve"> </v>
      </c>
      <c r="H11" s="32"/>
      <c r="I11" s="33" t="s">
        <v>23</v>
      </c>
      <c r="J11" s="34"/>
      <c r="K11" s="35">
        <f t="shared" si="0"/>
        <v>1</v>
      </c>
      <c r="L11" s="34">
        <f t="shared" si="1"/>
        <v>0</v>
      </c>
    </row>
    <row r="12" spans="1:13" s="36" customFormat="1" ht="35.15" customHeight="1" x14ac:dyDescent="0.3">
      <c r="A12" s="28">
        <f t="shared" ref="A12:A34" si="2">1+A11</f>
        <v>3</v>
      </c>
      <c r="B12" s="29"/>
      <c r="C12" s="30"/>
      <c r="D12" s="30"/>
      <c r="E12" s="31"/>
      <c r="F12" s="31"/>
      <c r="G12" s="31" t="str">
        <f>IF(ISNA(VLOOKUP(H12,[1]COA!B:C,2,FALSE))," ",(VLOOKUP(H12,[1]COA!B:C,2,FALSE)))</f>
        <v xml:space="preserve"> </v>
      </c>
      <c r="H12" s="32"/>
      <c r="I12" s="33" t="s">
        <v>23</v>
      </c>
      <c r="J12" s="34"/>
      <c r="K12" s="35">
        <f t="shared" si="0"/>
        <v>1</v>
      </c>
      <c r="L12" s="34">
        <f t="shared" si="1"/>
        <v>0</v>
      </c>
    </row>
    <row r="13" spans="1:13" s="36" customFormat="1" ht="35.15" customHeight="1" x14ac:dyDescent="0.3">
      <c r="A13" s="28">
        <f t="shared" si="2"/>
        <v>4</v>
      </c>
      <c r="B13" s="29"/>
      <c r="C13" s="31"/>
      <c r="D13" s="37"/>
      <c r="E13" s="31"/>
      <c r="F13" s="37"/>
      <c r="G13" s="31" t="str">
        <f>IF(ISNA(VLOOKUP(H13,[1]COA!B:C,2,FALSE))," ",(VLOOKUP(H13,[1]COA!B:C,2,FALSE)))</f>
        <v xml:space="preserve"> </v>
      </c>
      <c r="H13" s="32"/>
      <c r="I13" s="33" t="s">
        <v>23</v>
      </c>
      <c r="J13" s="34"/>
      <c r="K13" s="35">
        <f t="shared" si="0"/>
        <v>1</v>
      </c>
      <c r="L13" s="34">
        <f t="shared" si="1"/>
        <v>0</v>
      </c>
    </row>
    <row r="14" spans="1:13" s="36" customFormat="1" ht="35.15" customHeight="1" x14ac:dyDescent="0.3">
      <c r="A14" s="28">
        <f t="shared" si="2"/>
        <v>5</v>
      </c>
      <c r="B14" s="29"/>
      <c r="C14" s="38"/>
      <c r="D14" s="30"/>
      <c r="E14" s="31"/>
      <c r="F14" s="31"/>
      <c r="G14" s="31" t="str">
        <f>IF(ISNA(VLOOKUP(H14,[1]COA!B:C,2,FALSE))," ",(VLOOKUP(H14,[1]COA!B:C,2,FALSE)))</f>
        <v xml:space="preserve"> </v>
      </c>
      <c r="H14" s="32"/>
      <c r="I14" s="33" t="s">
        <v>23</v>
      </c>
      <c r="J14" s="34"/>
      <c r="K14" s="35">
        <f t="shared" si="0"/>
        <v>1</v>
      </c>
      <c r="L14" s="34">
        <f t="shared" si="1"/>
        <v>0</v>
      </c>
    </row>
    <row r="15" spans="1:13" s="36" customFormat="1" ht="35.15" customHeight="1" x14ac:dyDescent="0.3">
      <c r="A15" s="28">
        <f t="shared" si="2"/>
        <v>6</v>
      </c>
      <c r="B15" s="29"/>
      <c r="C15" s="30"/>
      <c r="D15" s="30"/>
      <c r="E15" s="31"/>
      <c r="F15" s="31"/>
      <c r="G15" s="31" t="str">
        <f>IF(ISNA(VLOOKUP(H15,[1]COA!B:C,2,FALSE))," ",(VLOOKUP(H15,[1]COA!B:C,2,FALSE)))</f>
        <v xml:space="preserve"> </v>
      </c>
      <c r="H15" s="32"/>
      <c r="I15" s="33" t="s">
        <v>23</v>
      </c>
      <c r="J15" s="34"/>
      <c r="K15" s="35">
        <f t="shared" si="0"/>
        <v>1</v>
      </c>
      <c r="L15" s="34">
        <f t="shared" si="1"/>
        <v>0</v>
      </c>
    </row>
    <row r="16" spans="1:13" s="36" customFormat="1" ht="35.15" customHeight="1" x14ac:dyDescent="0.3">
      <c r="A16" s="28">
        <f t="shared" si="2"/>
        <v>7</v>
      </c>
      <c r="B16" s="29"/>
      <c r="C16" s="30"/>
      <c r="D16" s="30"/>
      <c r="E16" s="31"/>
      <c r="F16" s="31"/>
      <c r="G16" s="31" t="str">
        <f>IF(ISNA(VLOOKUP(H16,[1]COA!B:C,2,FALSE))," ",(VLOOKUP(H16,[1]COA!B:C,2,FALSE)))</f>
        <v xml:space="preserve"> </v>
      </c>
      <c r="H16" s="32"/>
      <c r="I16" s="33" t="s">
        <v>23</v>
      </c>
      <c r="J16" s="34"/>
      <c r="K16" s="35">
        <f t="shared" si="0"/>
        <v>1</v>
      </c>
      <c r="L16" s="34">
        <f t="shared" si="1"/>
        <v>0</v>
      </c>
    </row>
    <row r="17" spans="1:16" s="36" customFormat="1" ht="35.15" customHeight="1" x14ac:dyDescent="0.3">
      <c r="A17" s="28">
        <f t="shared" si="2"/>
        <v>8</v>
      </c>
      <c r="B17" s="29"/>
      <c r="C17" s="30"/>
      <c r="D17" s="30"/>
      <c r="E17" s="31"/>
      <c r="F17" s="37"/>
      <c r="G17" s="31" t="str">
        <f>IF(ISNA(VLOOKUP(H17,[1]COA!B:C,2,FALSE))," ",(VLOOKUP(H17,[1]COA!B:C,2,FALSE)))</f>
        <v xml:space="preserve"> </v>
      </c>
      <c r="H17" s="32"/>
      <c r="I17" s="33" t="s">
        <v>23</v>
      </c>
      <c r="J17" s="34"/>
      <c r="K17" s="35">
        <f t="shared" si="0"/>
        <v>1</v>
      </c>
      <c r="L17" s="34">
        <f t="shared" si="1"/>
        <v>0</v>
      </c>
    </row>
    <row r="18" spans="1:16" s="36" customFormat="1" ht="35.15" customHeight="1" x14ac:dyDescent="0.3">
      <c r="A18" s="28">
        <f t="shared" si="2"/>
        <v>9</v>
      </c>
      <c r="B18" s="29"/>
      <c r="C18" s="30"/>
      <c r="D18" s="30"/>
      <c r="E18" s="31"/>
      <c r="F18" s="31"/>
      <c r="G18" s="31" t="str">
        <f>IF(ISNA(VLOOKUP(H18,[1]COA!B:C,2,FALSE))," ",(VLOOKUP(H18,[1]COA!B:C,2,FALSE)))</f>
        <v xml:space="preserve"> </v>
      </c>
      <c r="H18" s="32"/>
      <c r="I18" s="33" t="s">
        <v>23</v>
      </c>
      <c r="J18" s="34"/>
      <c r="K18" s="35">
        <f t="shared" si="0"/>
        <v>1</v>
      </c>
      <c r="L18" s="34">
        <f t="shared" si="1"/>
        <v>0</v>
      </c>
      <c r="P18" s="36" t="s">
        <v>24</v>
      </c>
    </row>
    <row r="19" spans="1:16" s="36" customFormat="1" ht="35.15" customHeight="1" x14ac:dyDescent="0.3">
      <c r="A19" s="28">
        <f t="shared" si="2"/>
        <v>10</v>
      </c>
      <c r="B19" s="29"/>
      <c r="C19" s="30"/>
      <c r="D19" s="30"/>
      <c r="E19" s="31"/>
      <c r="F19" s="31"/>
      <c r="G19" s="31" t="str">
        <f>IF(ISNA(VLOOKUP(H19,[1]COA!B:C,2,FALSE))," ",(VLOOKUP(H19,[1]COA!B:C,2,FALSE)))</f>
        <v xml:space="preserve"> </v>
      </c>
      <c r="H19" s="32"/>
      <c r="I19" s="33" t="s">
        <v>23</v>
      </c>
      <c r="J19" s="34"/>
      <c r="K19" s="35">
        <f t="shared" si="0"/>
        <v>1</v>
      </c>
      <c r="L19" s="34">
        <f t="shared" si="1"/>
        <v>0</v>
      </c>
    </row>
    <row r="20" spans="1:16" s="36" customFormat="1" ht="35.15" customHeight="1" x14ac:dyDescent="0.3">
      <c r="A20" s="28">
        <f t="shared" si="2"/>
        <v>11</v>
      </c>
      <c r="B20" s="29"/>
      <c r="C20" s="30"/>
      <c r="D20" s="30"/>
      <c r="E20" s="31"/>
      <c r="F20" s="31"/>
      <c r="G20" s="31" t="str">
        <f>IF(ISNA(VLOOKUP(H20,[1]COA!B:C,2,FALSE))," ",(VLOOKUP(H20,[1]COA!B:C,2,FALSE)))</f>
        <v xml:space="preserve"> </v>
      </c>
      <c r="H20" s="32"/>
      <c r="I20" s="33" t="s">
        <v>23</v>
      </c>
      <c r="J20" s="34"/>
      <c r="K20" s="35">
        <f t="shared" si="0"/>
        <v>1</v>
      </c>
      <c r="L20" s="34">
        <f t="shared" si="1"/>
        <v>0</v>
      </c>
    </row>
    <row r="21" spans="1:16" s="36" customFormat="1" ht="35.15" customHeight="1" x14ac:dyDescent="0.3">
      <c r="A21" s="28">
        <f t="shared" si="2"/>
        <v>12</v>
      </c>
      <c r="B21" s="29"/>
      <c r="C21" s="30"/>
      <c r="D21" s="30"/>
      <c r="E21" s="31"/>
      <c r="F21" s="37"/>
      <c r="G21" s="31" t="str">
        <f>IF(ISNA(VLOOKUP(H21,[1]COA!B:C,2,FALSE))," ",(VLOOKUP(H21,[1]COA!B:C,2,FALSE)))</f>
        <v xml:space="preserve"> </v>
      </c>
      <c r="H21" s="32"/>
      <c r="I21" s="33" t="s">
        <v>23</v>
      </c>
      <c r="J21" s="34"/>
      <c r="K21" s="35">
        <f t="shared" si="0"/>
        <v>1</v>
      </c>
      <c r="L21" s="34">
        <f t="shared" si="1"/>
        <v>0</v>
      </c>
    </row>
    <row r="22" spans="1:16" s="36" customFormat="1" ht="35.15" customHeight="1" x14ac:dyDescent="0.3">
      <c r="A22" s="28">
        <f t="shared" si="2"/>
        <v>13</v>
      </c>
      <c r="B22" s="29"/>
      <c r="C22" s="30"/>
      <c r="D22" s="30"/>
      <c r="E22" s="31"/>
      <c r="F22" s="37"/>
      <c r="G22" s="31" t="str">
        <f>IF(ISNA(VLOOKUP(H22,[1]COA!B:C,2,FALSE))," ",(VLOOKUP(H22,[1]COA!B:C,2,FALSE)))</f>
        <v xml:space="preserve"> </v>
      </c>
      <c r="H22" s="32"/>
      <c r="I22" s="33" t="s">
        <v>23</v>
      </c>
      <c r="J22" s="34"/>
      <c r="K22" s="35">
        <f t="shared" si="0"/>
        <v>1</v>
      </c>
      <c r="L22" s="34">
        <f t="shared" si="1"/>
        <v>0</v>
      </c>
    </row>
    <row r="23" spans="1:16" s="36" customFormat="1" ht="35.15" customHeight="1" x14ac:dyDescent="0.3">
      <c r="A23" s="28">
        <f t="shared" si="2"/>
        <v>14</v>
      </c>
      <c r="B23" s="29"/>
      <c r="C23" s="30"/>
      <c r="D23" s="30"/>
      <c r="E23" s="31"/>
      <c r="F23" s="37"/>
      <c r="G23" s="31" t="str">
        <f>IF(ISNA(VLOOKUP(H23,[1]COA!B:C,2,FALSE))," ",(VLOOKUP(H23,[1]COA!B:C,2,FALSE)))</f>
        <v xml:space="preserve"> </v>
      </c>
      <c r="H23" s="32"/>
      <c r="I23" s="33" t="s">
        <v>23</v>
      </c>
      <c r="J23" s="34"/>
      <c r="K23" s="35">
        <f t="shared" si="0"/>
        <v>1</v>
      </c>
      <c r="L23" s="34">
        <f t="shared" si="1"/>
        <v>0</v>
      </c>
    </row>
    <row r="24" spans="1:16" s="36" customFormat="1" ht="35.15" customHeight="1" x14ac:dyDescent="0.3">
      <c r="A24" s="28">
        <f t="shared" si="2"/>
        <v>15</v>
      </c>
      <c r="B24" s="29"/>
      <c r="C24" s="30"/>
      <c r="D24" s="30"/>
      <c r="E24" s="31"/>
      <c r="F24" s="31"/>
      <c r="G24" s="31" t="str">
        <f>IF(ISNA(VLOOKUP(H24,[1]COA!B:C,2,FALSE))," ",(VLOOKUP(H24,[1]COA!B:C,2,FALSE)))</f>
        <v xml:space="preserve"> </v>
      </c>
      <c r="H24" s="32"/>
      <c r="I24" s="33" t="s">
        <v>23</v>
      </c>
      <c r="J24" s="34"/>
      <c r="K24" s="35">
        <f t="shared" si="0"/>
        <v>1</v>
      </c>
      <c r="L24" s="34">
        <f t="shared" si="1"/>
        <v>0</v>
      </c>
    </row>
    <row r="25" spans="1:16" s="36" customFormat="1" ht="35.15" customHeight="1" x14ac:dyDescent="0.3">
      <c r="A25" s="28">
        <f t="shared" si="2"/>
        <v>16</v>
      </c>
      <c r="B25" s="29"/>
      <c r="C25" s="30"/>
      <c r="D25" s="30"/>
      <c r="E25" s="31"/>
      <c r="F25" s="37"/>
      <c r="G25" s="31" t="str">
        <f>IF(ISNA(VLOOKUP(H25,[1]COA!B:C,2,FALSE))," ",(VLOOKUP(H25,[1]COA!B:C,2,FALSE)))</f>
        <v xml:space="preserve"> </v>
      </c>
      <c r="H25" s="32"/>
      <c r="I25" s="33" t="s">
        <v>23</v>
      </c>
      <c r="J25" s="34"/>
      <c r="K25" s="35">
        <f t="shared" si="0"/>
        <v>1</v>
      </c>
      <c r="L25" s="34">
        <f t="shared" si="1"/>
        <v>0</v>
      </c>
    </row>
    <row r="26" spans="1:16" s="36" customFormat="1" ht="35.15" customHeight="1" x14ac:dyDescent="0.3">
      <c r="A26" s="28">
        <f t="shared" si="2"/>
        <v>17</v>
      </c>
      <c r="B26" s="29"/>
      <c r="C26" s="30"/>
      <c r="D26" s="30"/>
      <c r="E26" s="31"/>
      <c r="F26" s="31"/>
      <c r="G26" s="31" t="str">
        <f>IF(ISNA(VLOOKUP(H26,[1]COA!B:C,2,FALSE))," ",(VLOOKUP(H26,[1]COA!B:C,2,FALSE)))</f>
        <v xml:space="preserve"> </v>
      </c>
      <c r="H26" s="32"/>
      <c r="I26" s="33" t="s">
        <v>23</v>
      </c>
      <c r="J26" s="34"/>
      <c r="K26" s="35">
        <f t="shared" si="0"/>
        <v>1</v>
      </c>
      <c r="L26" s="34">
        <f t="shared" si="1"/>
        <v>0</v>
      </c>
    </row>
    <row r="27" spans="1:16" s="36" customFormat="1" ht="35.15" customHeight="1" x14ac:dyDescent="0.3">
      <c r="A27" s="28">
        <f t="shared" si="2"/>
        <v>18</v>
      </c>
      <c r="B27" s="29"/>
      <c r="C27" s="30"/>
      <c r="D27" s="30"/>
      <c r="E27" s="31"/>
      <c r="F27" s="31"/>
      <c r="G27" s="31" t="str">
        <f>IF(ISNA(VLOOKUP(H27,[1]COA!B:C,2,FALSE))," ",(VLOOKUP(H27,[1]COA!B:C,2,FALSE)))</f>
        <v xml:space="preserve"> </v>
      </c>
      <c r="H27" s="32"/>
      <c r="I27" s="33" t="s">
        <v>23</v>
      </c>
      <c r="J27" s="34"/>
      <c r="K27" s="35">
        <f t="shared" si="0"/>
        <v>1</v>
      </c>
      <c r="L27" s="34">
        <f t="shared" si="1"/>
        <v>0</v>
      </c>
    </row>
    <row r="28" spans="1:16" s="36" customFormat="1" ht="35.15" customHeight="1" x14ac:dyDescent="0.3">
      <c r="A28" s="28">
        <f t="shared" si="2"/>
        <v>19</v>
      </c>
      <c r="B28" s="29"/>
      <c r="C28" s="30"/>
      <c r="D28" s="30"/>
      <c r="E28" s="31"/>
      <c r="F28" s="31"/>
      <c r="G28" s="31" t="str">
        <f>IF(ISNA(VLOOKUP(H28,[1]COA!B:C,2,FALSE))," ",(VLOOKUP(H28,[1]COA!B:C,2,FALSE)))</f>
        <v xml:space="preserve"> </v>
      </c>
      <c r="H28" s="32"/>
      <c r="I28" s="33" t="s">
        <v>23</v>
      </c>
      <c r="J28" s="34"/>
      <c r="K28" s="35">
        <f t="shared" si="0"/>
        <v>1</v>
      </c>
      <c r="L28" s="34">
        <f t="shared" si="1"/>
        <v>0</v>
      </c>
    </row>
    <row r="29" spans="1:16" s="36" customFormat="1" ht="35.15" customHeight="1" x14ac:dyDescent="0.3">
      <c r="A29" s="28">
        <f t="shared" si="2"/>
        <v>20</v>
      </c>
      <c r="B29" s="29"/>
      <c r="C29" s="30"/>
      <c r="D29" s="30"/>
      <c r="E29" s="31"/>
      <c r="F29" s="31"/>
      <c r="G29" s="31" t="str">
        <f>IF(ISNA(VLOOKUP(H29,[1]COA!B:C,2,FALSE))," ",(VLOOKUP(H29,[1]COA!B:C,2,FALSE)))</f>
        <v xml:space="preserve"> </v>
      </c>
      <c r="H29" s="32"/>
      <c r="I29" s="33" t="s">
        <v>23</v>
      </c>
      <c r="J29" s="34"/>
      <c r="K29" s="35">
        <f t="shared" si="0"/>
        <v>1</v>
      </c>
      <c r="L29" s="34">
        <f t="shared" si="1"/>
        <v>0</v>
      </c>
    </row>
    <row r="30" spans="1:16" s="36" customFormat="1" ht="35.15" customHeight="1" x14ac:dyDescent="0.3">
      <c r="A30" s="28">
        <f t="shared" si="2"/>
        <v>21</v>
      </c>
      <c r="B30" s="29"/>
      <c r="C30" s="30"/>
      <c r="D30" s="30"/>
      <c r="E30" s="31"/>
      <c r="F30" s="31"/>
      <c r="G30" s="31" t="str">
        <f>IF(ISNA(VLOOKUP(H30,[1]COA!B:C,2,FALSE))," ",(VLOOKUP(H30,[1]COA!B:C,2,FALSE)))</f>
        <v xml:space="preserve"> </v>
      </c>
      <c r="H30" s="32"/>
      <c r="I30" s="33" t="s">
        <v>23</v>
      </c>
      <c r="J30" s="34"/>
      <c r="K30" s="35">
        <f t="shared" si="0"/>
        <v>1</v>
      </c>
      <c r="L30" s="34">
        <f t="shared" si="1"/>
        <v>0</v>
      </c>
    </row>
    <row r="31" spans="1:16" s="36" customFormat="1" ht="35.15" customHeight="1" x14ac:dyDescent="0.3">
      <c r="A31" s="28">
        <f t="shared" si="2"/>
        <v>22</v>
      </c>
      <c r="B31" s="29"/>
      <c r="C31" s="30"/>
      <c r="D31" s="30"/>
      <c r="E31" s="31"/>
      <c r="F31" s="31"/>
      <c r="G31" s="31" t="str">
        <f>IF(ISNA(VLOOKUP(H31,[1]COA!B:C,2,FALSE))," ",(VLOOKUP(H31,[1]COA!B:C,2,FALSE)))</f>
        <v xml:space="preserve"> </v>
      </c>
      <c r="H31" s="32"/>
      <c r="I31" s="33" t="s">
        <v>23</v>
      </c>
      <c r="J31" s="34"/>
      <c r="K31" s="35">
        <f t="shared" si="0"/>
        <v>1</v>
      </c>
      <c r="L31" s="34">
        <f t="shared" si="1"/>
        <v>0</v>
      </c>
    </row>
    <row r="32" spans="1:16" s="36" customFormat="1" ht="35.15" customHeight="1" x14ac:dyDescent="0.3">
      <c r="A32" s="28">
        <f t="shared" si="2"/>
        <v>23</v>
      </c>
      <c r="B32" s="29"/>
      <c r="C32" s="30"/>
      <c r="D32" s="30"/>
      <c r="E32" s="31"/>
      <c r="F32" s="31"/>
      <c r="G32" s="31" t="str">
        <f>IF(ISNA(VLOOKUP(H32,[1]COA!B:C,2,FALSE))," ",(VLOOKUP(H32,[1]COA!B:C,2,FALSE)))</f>
        <v xml:space="preserve"> </v>
      </c>
      <c r="H32" s="32"/>
      <c r="I32" s="33" t="s">
        <v>23</v>
      </c>
      <c r="J32" s="34"/>
      <c r="K32" s="35">
        <f t="shared" si="0"/>
        <v>1</v>
      </c>
      <c r="L32" s="34">
        <f t="shared" si="1"/>
        <v>0</v>
      </c>
    </row>
    <row r="33" spans="1:13" s="36" customFormat="1" ht="35.15" customHeight="1" x14ac:dyDescent="0.3">
      <c r="A33" s="28">
        <f t="shared" si="2"/>
        <v>24</v>
      </c>
      <c r="B33" s="29"/>
      <c r="C33" s="30"/>
      <c r="D33" s="30"/>
      <c r="E33" s="31"/>
      <c r="F33" s="31"/>
      <c r="G33" s="31"/>
      <c r="H33" s="32"/>
      <c r="I33" s="33" t="s">
        <v>23</v>
      </c>
      <c r="J33" s="34"/>
      <c r="K33" s="35">
        <f t="shared" si="0"/>
        <v>1</v>
      </c>
      <c r="L33" s="34">
        <f t="shared" si="1"/>
        <v>0</v>
      </c>
    </row>
    <row r="34" spans="1:13" s="36" customFormat="1" ht="35.15" customHeight="1" x14ac:dyDescent="0.3">
      <c r="A34" s="28">
        <f t="shared" si="2"/>
        <v>25</v>
      </c>
      <c r="B34" s="39"/>
      <c r="C34" s="40"/>
      <c r="D34" s="40"/>
      <c r="E34" s="41"/>
      <c r="F34" s="41"/>
      <c r="G34" s="41" t="str">
        <f>IF(ISNA(VLOOKUP(H34,[1]COA!B:C,2,FALSE))," ",(VLOOKUP(H34,[1]COA!B:C,2,FALSE)))</f>
        <v xml:space="preserve"> </v>
      </c>
      <c r="H34" s="42"/>
      <c r="I34" s="33" t="s">
        <v>23</v>
      </c>
      <c r="J34" s="43"/>
      <c r="K34" s="35">
        <f t="shared" si="0"/>
        <v>1</v>
      </c>
      <c r="L34" s="34">
        <f t="shared" si="1"/>
        <v>0</v>
      </c>
    </row>
    <row r="35" spans="1:13" s="36" customFormat="1" ht="35" customHeight="1" thickBot="1" x14ac:dyDescent="0.35">
      <c r="A35" s="44"/>
      <c r="B35" s="45"/>
      <c r="C35" s="46"/>
      <c r="D35" s="46"/>
      <c r="E35" s="47"/>
      <c r="F35" s="47"/>
      <c r="G35" s="47"/>
      <c r="H35" s="48"/>
      <c r="I35" s="49" t="s">
        <v>23</v>
      </c>
      <c r="J35" s="50"/>
      <c r="K35" s="51"/>
      <c r="L35" s="50">
        <f>SUM(L10:L34)</f>
        <v>0</v>
      </c>
    </row>
    <row r="36" spans="1:13" s="36" customFormat="1" ht="31.5" customHeight="1" thickTop="1" x14ac:dyDescent="0.3">
      <c r="A36" s="52"/>
      <c r="B36" s="53"/>
      <c r="C36" s="80"/>
      <c r="D36" s="80"/>
      <c r="E36" s="54"/>
      <c r="F36" s="81" t="s">
        <v>25</v>
      </c>
      <c r="G36" s="81"/>
      <c r="H36" s="82"/>
      <c r="I36" s="55"/>
      <c r="J36" s="55"/>
      <c r="K36" s="56" t="s">
        <v>21</v>
      </c>
      <c r="L36" s="57" t="s">
        <v>22</v>
      </c>
    </row>
    <row r="37" spans="1:13" s="36" customFormat="1" ht="20.25" customHeight="1" x14ac:dyDescent="0.3">
      <c r="A37" s="58"/>
      <c r="B37" s="53"/>
      <c r="C37" s="59"/>
      <c r="D37" s="60"/>
      <c r="E37" s="61"/>
      <c r="F37" s="60">
        <f t="shared" ref="F37:F42" si="3">SUMIF(G$10:G$34,G37,$L$10:$L$34)</f>
        <v>0</v>
      </c>
      <c r="G37" s="61" t="str">
        <f>IF(ISNA(VLOOKUP(H37,[1]COA!B:C,2,FALSE))," ",(VLOOKUP(H37,[1]COA!B:C,2,FALSE)))</f>
        <v>E05010</v>
      </c>
      <c r="H37" s="62" t="s">
        <v>26</v>
      </c>
      <c r="I37" s="37" t="s">
        <v>23</v>
      </c>
      <c r="J37" s="63">
        <f>SUMIF($I$10:$I$35,$I37,$J$10:$J$35)</f>
        <v>0</v>
      </c>
      <c r="K37" s="35">
        <v>1</v>
      </c>
      <c r="L37" s="34">
        <f t="shared" ref="L37:L43" si="4">J37*K37</f>
        <v>0</v>
      </c>
    </row>
    <row r="38" spans="1:13" s="36" customFormat="1" ht="20.25" customHeight="1" x14ac:dyDescent="0.3">
      <c r="A38" s="58"/>
      <c r="B38" s="53"/>
      <c r="C38" s="64"/>
      <c r="D38" s="65"/>
      <c r="E38" s="61"/>
      <c r="F38" s="60">
        <f t="shared" si="3"/>
        <v>0</v>
      </c>
      <c r="G38" s="61" t="str">
        <f>IF(ISNA(VLOOKUP(H38,[1]COA!B:C,2,FALSE))," ",(VLOOKUP(H38,[1]COA!B:C,2,FALSE)))</f>
        <v>E12010</v>
      </c>
      <c r="H38" s="62" t="s">
        <v>27</v>
      </c>
      <c r="I38" s="37" t="s">
        <v>28</v>
      </c>
      <c r="J38" s="63">
        <f>SUMIF($I$10:$I$35,$I38,$J$10:$J$35)</f>
        <v>0</v>
      </c>
      <c r="K38" s="35">
        <v>1.08</v>
      </c>
      <c r="L38" s="34">
        <f t="shared" si="4"/>
        <v>0</v>
      </c>
    </row>
    <row r="39" spans="1:13" s="36" customFormat="1" ht="20.25" customHeight="1" x14ac:dyDescent="0.3">
      <c r="A39" s="58"/>
      <c r="B39" s="53"/>
      <c r="C39" s="64"/>
      <c r="D39" s="65"/>
      <c r="E39" s="61"/>
      <c r="F39" s="60">
        <f t="shared" si="3"/>
        <v>0</v>
      </c>
      <c r="G39" s="61" t="str">
        <f>IF(ISNA(VLOOKUP(H39,[1]COA!B:C,2,FALSE))," ",(VLOOKUP(H39,[1]COA!B:C,2,FALSE)))</f>
        <v>E03020</v>
      </c>
      <c r="H39" s="62" t="s">
        <v>29</v>
      </c>
      <c r="I39" s="37" t="s">
        <v>30</v>
      </c>
      <c r="J39" s="63">
        <f>SUMIF($I$10:$I$35,$I39,$J$10:$J$35)</f>
        <v>0</v>
      </c>
      <c r="K39" s="35">
        <v>0.26</v>
      </c>
      <c r="L39" s="34">
        <f t="shared" si="4"/>
        <v>0</v>
      </c>
    </row>
    <row r="40" spans="1:13" s="36" customFormat="1" ht="20.25" customHeight="1" x14ac:dyDescent="0.3">
      <c r="A40" s="58"/>
      <c r="B40" s="53"/>
      <c r="C40" s="64"/>
      <c r="D40" s="65"/>
      <c r="E40" s="61"/>
      <c r="F40" s="60">
        <f t="shared" si="3"/>
        <v>0</v>
      </c>
      <c r="G40" s="61" t="str">
        <f>IF(ISNA(VLOOKUP(H40,[1]COA!B:C,2,FALSE))," ",(VLOOKUP(H40,[1]COA!B:C,2,FALSE)))</f>
        <v>E19032</v>
      </c>
      <c r="H40" s="62" t="s">
        <v>31</v>
      </c>
      <c r="I40" s="37" t="s">
        <v>32</v>
      </c>
      <c r="J40" s="63"/>
      <c r="K40" s="35"/>
      <c r="L40" s="34">
        <f t="shared" si="4"/>
        <v>0</v>
      </c>
    </row>
    <row r="41" spans="1:13" s="36" customFormat="1" ht="20.25" customHeight="1" x14ac:dyDescent="0.3">
      <c r="A41" s="58"/>
      <c r="B41" s="53"/>
      <c r="C41" s="64"/>
      <c r="D41" s="65"/>
      <c r="E41" s="61"/>
      <c r="F41" s="60">
        <f t="shared" si="3"/>
        <v>0</v>
      </c>
      <c r="G41" s="61" t="str">
        <f>IF(ISNA(VLOOKUP(H41,[1]COA!B:C,2,FALSE))," ",(VLOOKUP(H41,[1]COA!B:C,2,FALSE)))</f>
        <v>E16020</v>
      </c>
      <c r="H41" s="62" t="s">
        <v>33</v>
      </c>
      <c r="I41" s="37"/>
      <c r="J41" s="63"/>
      <c r="K41" s="35"/>
      <c r="L41" s="34">
        <f t="shared" si="4"/>
        <v>0</v>
      </c>
    </row>
    <row r="42" spans="1:13" s="36" customFormat="1" ht="20.25" customHeight="1" x14ac:dyDescent="0.3">
      <c r="A42" s="58"/>
      <c r="B42" s="53"/>
      <c r="C42" s="64"/>
      <c r="D42" s="65"/>
      <c r="E42" s="61"/>
      <c r="F42" s="60">
        <f t="shared" si="3"/>
        <v>0</v>
      </c>
      <c r="G42" s="61" t="str">
        <f>IF(ISNA(VLOOKUP(H42,[1]COA!B:C,2,FALSE))," ",(VLOOKUP(H42,[1]COA!B:C,2,FALSE)))</f>
        <v>E19040</v>
      </c>
      <c r="H42" s="62" t="s">
        <v>34</v>
      </c>
      <c r="I42" s="37"/>
      <c r="J42" s="63"/>
      <c r="K42" s="35"/>
      <c r="L42" s="34">
        <f t="shared" si="4"/>
        <v>0</v>
      </c>
    </row>
    <row r="43" spans="1:13" s="36" customFormat="1" ht="20.25" customHeight="1" x14ac:dyDescent="0.3">
      <c r="A43" s="58"/>
      <c r="B43" s="53"/>
      <c r="C43" s="64"/>
      <c r="D43" s="65"/>
      <c r="E43" s="61"/>
      <c r="F43" s="61"/>
      <c r="G43" s="61" t="str">
        <f>IF(ISNA(VLOOKUP(H43,[1]COA!B:C,2,FALSE))," ",(VLOOKUP(H43,[1]COA!B:C,2,FALSE)))</f>
        <v xml:space="preserve"> </v>
      </c>
      <c r="I43" s="66"/>
      <c r="J43" s="67"/>
      <c r="K43" s="68"/>
      <c r="L43" s="69">
        <f t="shared" si="4"/>
        <v>0</v>
      </c>
    </row>
    <row r="44" spans="1:13" s="36" customFormat="1" ht="35.15" customHeight="1" thickBot="1" x14ac:dyDescent="0.35">
      <c r="A44" s="58"/>
      <c r="B44" s="53"/>
      <c r="C44" s="64"/>
      <c r="D44" s="65"/>
      <c r="E44" s="61"/>
      <c r="F44" s="70">
        <f>SUM(F37:F43)</f>
        <v>0</v>
      </c>
      <c r="G44" s="61"/>
      <c r="I44" s="83" t="s">
        <v>35</v>
      </c>
      <c r="J44" s="84"/>
      <c r="K44" s="85"/>
      <c r="L44" s="71">
        <f>SUM(L37:L43)</f>
        <v>0</v>
      </c>
    </row>
    <row r="45" spans="1:13" ht="35.15" customHeight="1" thickTop="1" x14ac:dyDescent="0.45">
      <c r="A45" s="72"/>
      <c r="B45" s="73"/>
      <c r="D45" s="7"/>
      <c r="I45" s="86" t="s">
        <v>36</v>
      </c>
      <c r="J45" s="86"/>
      <c r="K45" s="86"/>
      <c r="L45" s="86"/>
    </row>
    <row r="46" spans="1:13" ht="75.75" customHeight="1" x14ac:dyDescent="0.45">
      <c r="A46" s="78" t="s">
        <v>37</v>
      </c>
      <c r="B46" s="78"/>
      <c r="C46" s="78"/>
      <c r="D46" s="7"/>
      <c r="I46" s="12" t="s">
        <v>37</v>
      </c>
      <c r="J46" s="12"/>
      <c r="K46" s="74"/>
      <c r="L46" s="7"/>
    </row>
    <row r="47" spans="1:13" s="75" customFormat="1" ht="26.25" customHeight="1" x14ac:dyDescent="0.45">
      <c r="A47" s="4" t="s">
        <v>38</v>
      </c>
      <c r="B47" s="3"/>
      <c r="C47" s="4"/>
      <c r="D47" s="7"/>
      <c r="E47" s="6"/>
      <c r="F47" s="6"/>
      <c r="H47" s="2"/>
      <c r="I47" s="4" t="s">
        <v>39</v>
      </c>
      <c r="J47" s="7"/>
      <c r="K47" s="8"/>
      <c r="L47" s="7"/>
      <c r="M47" s="2"/>
    </row>
    <row r="48" spans="1:13" s="1" customFormat="1" ht="27" customHeight="1" x14ac:dyDescent="0.45">
      <c r="A48" s="1" t="s">
        <v>40</v>
      </c>
      <c r="B48" s="73"/>
      <c r="C48" s="4"/>
      <c r="D48" s="7"/>
      <c r="E48" s="4"/>
      <c r="F48" s="4"/>
      <c r="I48" s="4" t="s">
        <v>40</v>
      </c>
      <c r="J48" s="76"/>
      <c r="K48" s="77"/>
      <c r="L48" s="7"/>
    </row>
    <row r="49" spans="1:13" s="75" customFormat="1" ht="21" customHeight="1" x14ac:dyDescent="0.45">
      <c r="A49" s="2"/>
      <c r="B49" s="3"/>
      <c r="C49" s="4"/>
      <c r="D49" s="5"/>
      <c r="E49" s="6"/>
      <c r="F49" s="6"/>
      <c r="G49" s="6"/>
      <c r="H49" s="2"/>
      <c r="I49" s="7"/>
      <c r="J49" s="7"/>
      <c r="K49" s="8"/>
      <c r="L49" s="5"/>
      <c r="M49" s="2"/>
    </row>
    <row r="50" spans="1:13" s="75" customFormat="1" ht="21" customHeight="1" x14ac:dyDescent="0.45">
      <c r="A50" s="2"/>
      <c r="B50" s="3"/>
      <c r="C50" s="4"/>
      <c r="D50" s="5"/>
      <c r="E50" s="6"/>
      <c r="F50" s="6"/>
      <c r="G50" s="6"/>
      <c r="H50" s="2"/>
      <c r="I50" s="7"/>
      <c r="J50" s="7"/>
      <c r="K50" s="8"/>
      <c r="L50" s="5"/>
      <c r="M50" s="2"/>
    </row>
    <row r="51" spans="1:13" s="75" customFormat="1" ht="21" customHeight="1" x14ac:dyDescent="0.45">
      <c r="A51" s="2"/>
      <c r="B51" s="3"/>
      <c r="C51" s="4"/>
      <c r="D51" s="5"/>
      <c r="E51" s="6"/>
      <c r="F51" s="6"/>
      <c r="G51" s="6"/>
      <c r="H51" s="2"/>
      <c r="I51" s="7"/>
      <c r="J51" s="7"/>
      <c r="K51" s="8"/>
      <c r="L51" s="5"/>
      <c r="M51" s="2"/>
    </row>
    <row r="52" spans="1:13" s="75" customFormat="1" ht="21" customHeight="1" x14ac:dyDescent="0.45">
      <c r="A52" s="2"/>
      <c r="B52" s="3"/>
      <c r="C52" s="4"/>
      <c r="D52" s="5"/>
      <c r="E52" s="6"/>
      <c r="F52" s="6"/>
      <c r="G52" s="6"/>
      <c r="H52" s="2"/>
      <c r="I52" s="7"/>
      <c r="J52" s="7"/>
      <c r="K52" s="8"/>
      <c r="L52" s="5"/>
      <c r="M52" s="2"/>
    </row>
    <row r="53" spans="1:13" s="75" customFormat="1" ht="21" customHeight="1" x14ac:dyDescent="0.45">
      <c r="A53" s="2"/>
      <c r="B53" s="3"/>
      <c r="C53" s="4"/>
      <c r="D53" s="5"/>
      <c r="E53" s="6"/>
      <c r="F53" s="6"/>
      <c r="G53" s="6"/>
      <c r="H53" s="2"/>
      <c r="I53" s="7"/>
      <c r="J53" s="7"/>
      <c r="K53" s="8"/>
      <c r="L53" s="5"/>
      <c r="M53" s="2"/>
    </row>
    <row r="54" spans="1:13" s="75" customFormat="1" ht="21" customHeight="1" x14ac:dyDescent="0.45">
      <c r="A54" s="2"/>
      <c r="B54" s="3"/>
      <c r="C54" s="4"/>
      <c r="D54" s="5"/>
      <c r="E54" s="6"/>
      <c r="F54" s="6"/>
      <c r="G54" s="6"/>
      <c r="H54" s="2"/>
      <c r="I54" s="7"/>
      <c r="J54" s="7"/>
      <c r="K54" s="8"/>
      <c r="L54" s="5"/>
      <c r="M54" s="2"/>
    </row>
  </sheetData>
  <mergeCells count="6">
    <mergeCell ref="A46:C46"/>
    <mergeCell ref="A1:L1"/>
    <mergeCell ref="C36:D36"/>
    <mergeCell ref="F36:H36"/>
    <mergeCell ref="I44:K44"/>
    <mergeCell ref="I45:L45"/>
  </mergeCells>
  <phoneticPr fontId="2" type="noConversion"/>
  <dataValidations count="1">
    <dataValidation type="list" allowBlank="1" showInputMessage="1" showErrorMessage="1" sqref="I10:I35" xr:uid="{D83ED6A5-92AA-42FF-99BF-C991BBDC883E}">
      <formula1>"HKD,RMB,TWD"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9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</vt:lpstr>
      <vt:lpstr>Blank!Print_Area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Cheung</dc:creator>
  <cp:lastModifiedBy>Vanessa Cheung</cp:lastModifiedBy>
  <dcterms:created xsi:type="dcterms:W3CDTF">2026-06-26T09:37:48Z</dcterms:created>
  <dcterms:modified xsi:type="dcterms:W3CDTF">2026-07-09T08:26:08Z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2026-06-26T09:38:35Z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00c5778c-354b-4c44-bbd1-85e02639b08b</vt:lpwstr>
  </property>
  <property fmtid="{D5CDD505-2E9C-101B-9397-08002B2CF9AE}" pid="7" name="MSIP_Label_defa4170-0d19-0005-0000-bc88714345d2_ActionId">
    <vt:lpwstr>4fb7a3c2-7c26-4bf1-9dc1-eceb0a3b19ee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